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dw2wrigh\SynologyDrive\Documents\Research\Altium\Projects\Noise Toaster\Documents\"/>
    </mc:Choice>
  </mc:AlternateContent>
  <xr:revisionPtr revIDLastSave="0" documentId="13_ncr:1_{8A659CC5-015B-485A-A9F9-52568CA406C4}" xr6:coauthVersionLast="47" xr6:coauthVersionMax="47" xr10:uidLastSave="{00000000-0000-0000-0000-000000000000}"/>
  <bookViews>
    <workbookView xWindow="263" yWindow="532" windowWidth="21600" windowHeight="11333" xr2:uid="{00000000-000D-0000-FFFF-FFFF00000000}"/>
  </bookViews>
  <sheets>
    <sheet name="Parts Li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3" i="1" l="1"/>
  <c r="D42" i="1"/>
  <c r="D41" i="1"/>
  <c r="D44" i="1"/>
  <c r="D40" i="1"/>
  <c r="D35" i="1"/>
  <c r="D38" i="1"/>
  <c r="D39" i="1"/>
</calcChain>
</file>

<file path=xl/sharedStrings.xml><?xml version="1.0" encoding="utf-8"?>
<sst xmlns="http://schemas.openxmlformats.org/spreadsheetml/2006/main" count="247" uniqueCount="148">
  <si>
    <t>Qty.</t>
  </si>
  <si>
    <t>Description</t>
  </si>
  <si>
    <t>Value</t>
  </si>
  <si>
    <t>Designators</t>
  </si>
  <si>
    <t>2  </t>
  </si>
  <si>
    <t>LM324 Quad Low Power Op Amp  </t>
  </si>
  <si>
    <t>LM324  </t>
  </si>
  <si>
    <t>U1, U2  </t>
  </si>
  <si>
    <t>1  </t>
  </si>
  <si>
    <t>LM386N4 (or N3) Low Voltage Audio Power Amp  </t>
  </si>
  <si>
    <t>LM386  </t>
  </si>
  <si>
    <t>U3  </t>
  </si>
  <si>
    <t>2N3906  </t>
  </si>
  <si>
    <t>Q10  </t>
  </si>
  <si>
    <t>4  </t>
  </si>
  <si>
    <t>2N5457 N Channel JFET  </t>
  </si>
  <si>
    <t>2N5457  </t>
  </si>
  <si>
    <t>Q1, Q7, Q8, Q9  </t>
  </si>
  <si>
    <t>5  </t>
  </si>
  <si>
    <t>Transistor NPN 2N3904  </t>
  </si>
  <si>
    <t>2N3904  </t>
  </si>
  <si>
    <t>Q2, Q3, Q4, Q5, Q6  </t>
  </si>
  <si>
    <t>3  </t>
  </si>
  <si>
    <t>1N914 High Speed Sw. Diode  </t>
  </si>
  <si>
    <t>1N914  </t>
  </si>
  <si>
    <t>D1, D2, D3  </t>
  </si>
  <si>
    <t>General Purpose Red LED  </t>
  </si>
  <si>
    <t>LED  </t>
  </si>
  <si>
    <t>LED1  </t>
  </si>
  <si>
    <t>7  </t>
  </si>
  <si>
    <t>Linear Taper Potentiometer  </t>
  </si>
  <si>
    <t>100K  </t>
  </si>
  <si>
    <t>R1, R13, R20, R28, R29, R38, R66  </t>
  </si>
  <si>
    <t>1M  </t>
  </si>
  <si>
    <t>R49, R51, R53  </t>
  </si>
  <si>
    <t>Resistor 1/4 Watt 5%  </t>
  </si>
  <si>
    <t>2M  </t>
  </si>
  <si>
    <t>R5, R16, R30  </t>
  </si>
  <si>
    <t>300K  </t>
  </si>
  <si>
    <t>R7  </t>
  </si>
  <si>
    <t>36K  </t>
  </si>
  <si>
    <t>R21  </t>
  </si>
  <si>
    <t>15K  </t>
  </si>
  <si>
    <t>R18  </t>
  </si>
  <si>
    <t>39K  </t>
  </si>
  <si>
    <t>R39, R40  </t>
  </si>
  <si>
    <t>3K  </t>
  </si>
  <si>
    <t>R48, R65, R70  </t>
  </si>
  <si>
    <t>4.7K  </t>
  </si>
  <si>
    <t>R22, R23, R37, R42, R54  </t>
  </si>
  <si>
    <t>4.7M  </t>
  </si>
  <si>
    <t>R33, R35  </t>
  </si>
  <si>
    <t>470K  </t>
  </si>
  <si>
    <t>R10, R19, R41  </t>
  </si>
  <si>
    <t>47K  </t>
  </si>
  <si>
    <t>R27, R36  </t>
  </si>
  <si>
    <t>75K  </t>
  </si>
  <si>
    <t>R2, R56  </t>
  </si>
  <si>
    <t>820 ohm  </t>
  </si>
  <si>
    <t>R50  </t>
  </si>
  <si>
    <t>10 ohms  </t>
  </si>
  <si>
    <t>R69  </t>
  </si>
  <si>
    <t>12  </t>
  </si>
  <si>
    <t>R14, R24, R25, R31, R44, R45, R47, R55, R58, R59, R60, R67  </t>
  </si>
  <si>
    <t>11  </t>
  </si>
  <si>
    <t>10K  </t>
  </si>
  <si>
    <t>R4, R6, R9, R12, R15, R17, R26, R32, R52, R61, R62  </t>
  </si>
  <si>
    <t>150K  </t>
  </si>
  <si>
    <t>R63, R64  </t>
  </si>
  <si>
    <t>3M  </t>
  </si>
  <si>
    <t>R34  </t>
  </si>
  <si>
    <t>R8, R46  </t>
  </si>
  <si>
    <t>200 ohm  </t>
  </si>
  <si>
    <t>R57  </t>
  </si>
  <si>
    <t>20K  </t>
  </si>
  <si>
    <t>R68, Extra for optional R56 replacement.  </t>
  </si>
  <si>
    <t>270K  </t>
  </si>
  <si>
    <t>R3  </t>
  </si>
  <si>
    <t>27K  </t>
  </si>
  <si>
    <t>R43  </t>
  </si>
  <si>
    <t>2K  </t>
  </si>
  <si>
    <t>R11  </t>
  </si>
  <si>
    <t>Capacitor Aluminum Bipolar (non polarized)  </t>
  </si>
  <si>
    <t>1uF  </t>
  </si>
  <si>
    <t>C17, C21  </t>
  </si>
  <si>
    <t>Capacitor Ceramic  </t>
  </si>
  <si>
    <t>.001uF  </t>
  </si>
  <si>
    <t>C2, C9, C10  </t>
  </si>
  <si>
    <t>.047uF  </t>
  </si>
  <si>
    <t>C24  </t>
  </si>
  <si>
    <t>8  </t>
  </si>
  <si>
    <t>.1uF  </t>
  </si>
  <si>
    <t>C3, C4, C5, C7, C8, C11, C12, C20  </t>
  </si>
  <si>
    <t>100pF  </t>
  </si>
  <si>
    <t>C1  </t>
  </si>
  <si>
    <t>.01uF  </t>
  </si>
  <si>
    <t>C6  </t>
  </si>
  <si>
    <t>Capacitor Electrolytic  </t>
  </si>
  <si>
    <t>10uF  </t>
  </si>
  <si>
    <t>C13, C14, C25  </t>
  </si>
  <si>
    <t>C16, C19  </t>
  </si>
  <si>
    <t>4.7uF  </t>
  </si>
  <si>
    <t>C18  </t>
  </si>
  <si>
    <t>Capacitor Electrolytic Radial Lead 0.2" Spacing  </t>
  </si>
  <si>
    <t>220uF  </t>
  </si>
  <si>
    <t>C22  </t>
  </si>
  <si>
    <t>470uF  </t>
  </si>
  <si>
    <t>C15, C23, C26  </t>
  </si>
  <si>
    <t>Speaker 2 1/4 inch 8 ohm  </t>
  </si>
  <si>
    <t>8 ohm 1W  </t>
  </si>
  <si>
    <t>SPK1  </t>
  </si>
  <si>
    <t>Switch SPDT (Center Off) Mini Toggle  </t>
  </si>
  <si>
    <t>SPDT  </t>
  </si>
  <si>
    <t>S3, S6  </t>
  </si>
  <si>
    <t>Switch SPDT Mini Toggle  </t>
  </si>
  <si>
    <t>S8, S9  </t>
  </si>
  <si>
    <t>6  </t>
  </si>
  <si>
    <t>Switch SPST Mini Toggle  </t>
  </si>
  <si>
    <t>SPST  </t>
  </si>
  <si>
    <t>S1, S2, S4, S5, S7, S11  </t>
  </si>
  <si>
    <t>Switch SPST N.O. Pushbutton  </t>
  </si>
  <si>
    <t>S10  </t>
  </si>
  <si>
    <t>Jack 1/4" With NC Switch to Tip  </t>
  </si>
  <si>
    <t>  </t>
  </si>
  <si>
    <t>J1  </t>
  </si>
  <si>
    <t>Battery  </t>
  </si>
  <si>
    <t>9V Battery  </t>
  </si>
  <si>
    <t>B1  </t>
  </si>
  <si>
    <t>LM324DT</t>
  </si>
  <si>
    <t>LM386MX</t>
  </si>
  <si>
    <t>MMBT3906</t>
  </si>
  <si>
    <t>MMBF5457</t>
  </si>
  <si>
    <t>MMBT3904</t>
  </si>
  <si>
    <t>C503B-RAS-CA0C0AA1</t>
  </si>
  <si>
    <t>‎ESR03EZPJ</t>
  </si>
  <si>
    <t>EEE-1HA010NR</t>
  </si>
  <si>
    <t>CL10B473KB8NNNC‎</t>
  </si>
  <si>
    <t>CL10B104KB8NNNC‎</t>
  </si>
  <si>
    <t>PDB181-E420K-104B-ND‎</t>
  </si>
  <si>
    <t>‎PDB181-E420K-105B-ND‎</t>
  </si>
  <si>
    <t>Actual Part</t>
  </si>
  <si>
    <t>‎K 50 FL - 8 OHM‎</t>
  </si>
  <si>
    <t>100SP3T1B1M1QEH</t>
  </si>
  <si>
    <t>100SP1T1B1M1QEH</t>
  </si>
  <si>
    <t>‎PS1024ARED‎</t>
  </si>
  <si>
    <t>‎35PM2A‎</t>
  </si>
  <si>
    <t>BX0023</t>
  </si>
  <si>
    <t>1N4448WS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</si>
</sst>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sz val="10"/>
      <color theme="1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right" vertical="top" wrapText="1"/>
    </xf>
    <xf numFmtId="0" fontId="2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tabSelected="1" workbookViewId="0">
      <pane ySplit="1" topLeftCell="A39" activePane="bottomLeft" state="frozen"/>
      <selection pane="bottomLeft" activeCell="E9" sqref="E9"/>
    </sheetView>
  </sheetViews>
  <sheetFormatPr defaultRowHeight="14.25" x14ac:dyDescent="0.45"/>
  <cols>
    <col min="1" max="1" width="5.33203125" bestFit="1" customWidth="1"/>
    <col min="2" max="2" width="26.796875" customWidth="1"/>
    <col min="3" max="3" width="12.53125" bestFit="1" customWidth="1"/>
    <col min="4" max="4" width="25.796875" bestFit="1" customWidth="1"/>
    <col min="5" max="5" width="63.796875" bestFit="1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140</v>
      </c>
      <c r="E1" s="1" t="s">
        <v>3</v>
      </c>
    </row>
    <row r="2" spans="1:5" ht="24.75" x14ac:dyDescent="0.45">
      <c r="A2" s="2" t="s">
        <v>4</v>
      </c>
      <c r="B2" s="3" t="s">
        <v>5</v>
      </c>
      <c r="C2" s="3" t="s">
        <v>6</v>
      </c>
      <c r="D2" s="3" t="s">
        <v>128</v>
      </c>
      <c r="E2" s="3" t="s">
        <v>7</v>
      </c>
    </row>
    <row r="3" spans="1:5" ht="24.75" x14ac:dyDescent="0.45">
      <c r="A3" s="4" t="s">
        <v>8</v>
      </c>
      <c r="B3" s="5" t="s">
        <v>9</v>
      </c>
      <c r="C3" s="5" t="s">
        <v>10</v>
      </c>
      <c r="D3" s="5" t="s">
        <v>129</v>
      </c>
      <c r="E3" s="5" t="s">
        <v>11</v>
      </c>
    </row>
    <row r="4" spans="1:5" x14ac:dyDescent="0.45">
      <c r="A4" s="2" t="s">
        <v>8</v>
      </c>
      <c r="B4" s="3" t="s">
        <v>12</v>
      </c>
      <c r="C4" s="3" t="s">
        <v>12</v>
      </c>
      <c r="D4" s="3" t="s">
        <v>130</v>
      </c>
      <c r="E4" s="3" t="s">
        <v>13</v>
      </c>
    </row>
    <row r="5" spans="1:5" x14ac:dyDescent="0.45">
      <c r="A5" s="4" t="s">
        <v>14</v>
      </c>
      <c r="B5" s="5" t="s">
        <v>15</v>
      </c>
      <c r="C5" s="5" t="s">
        <v>16</v>
      </c>
      <c r="D5" s="5" t="s">
        <v>131</v>
      </c>
      <c r="E5" s="5" t="s">
        <v>17</v>
      </c>
    </row>
    <row r="6" spans="1:5" x14ac:dyDescent="0.45">
      <c r="A6" s="2" t="s">
        <v>18</v>
      </c>
      <c r="B6" s="3" t="s">
        <v>19</v>
      </c>
      <c r="C6" s="3" t="s">
        <v>20</v>
      </c>
      <c r="D6" s="3" t="s">
        <v>132</v>
      </c>
      <c r="E6" s="3" t="s">
        <v>21</v>
      </c>
    </row>
    <row r="7" spans="1:5" ht="24.75" x14ac:dyDescent="0.45">
      <c r="A7" s="4" t="s">
        <v>22</v>
      </c>
      <c r="B7" s="5" t="s">
        <v>23</v>
      </c>
      <c r="C7" s="5" t="s">
        <v>24</v>
      </c>
      <c r="D7" s="5" t="s">
        <v>147</v>
      </c>
      <c r="E7" s="5" t="s">
        <v>25</v>
      </c>
    </row>
    <row r="8" spans="1:5" x14ac:dyDescent="0.45">
      <c r="A8" s="2" t="s">
        <v>8</v>
      </c>
      <c r="B8" s="3" t="s">
        <v>26</v>
      </c>
      <c r="C8" s="3" t="s">
        <v>27</v>
      </c>
      <c r="D8" s="3" t="s">
        <v>133</v>
      </c>
      <c r="E8" s="3" t="s">
        <v>28</v>
      </c>
    </row>
    <row r="9" spans="1:5" ht="24.75" x14ac:dyDescent="0.45">
      <c r="A9" s="4" t="s">
        <v>29</v>
      </c>
      <c r="B9" s="5" t="s">
        <v>30</v>
      </c>
      <c r="C9" s="5" t="s">
        <v>31</v>
      </c>
      <c r="D9" s="5" t="s">
        <v>138</v>
      </c>
      <c r="E9" s="5" t="s">
        <v>32</v>
      </c>
    </row>
    <row r="10" spans="1:5" ht="24.75" x14ac:dyDescent="0.45">
      <c r="A10" s="2" t="s">
        <v>22</v>
      </c>
      <c r="B10" s="3" t="s">
        <v>30</v>
      </c>
      <c r="C10" s="3" t="s">
        <v>33</v>
      </c>
      <c r="D10" s="3" t="s">
        <v>139</v>
      </c>
      <c r="E10" s="3" t="s">
        <v>34</v>
      </c>
    </row>
    <row r="11" spans="1:5" x14ac:dyDescent="0.45">
      <c r="A11" s="4" t="s">
        <v>22</v>
      </c>
      <c r="B11" s="5" t="s">
        <v>35</v>
      </c>
      <c r="C11" s="5" t="s">
        <v>36</v>
      </c>
      <c r="D11" s="5" t="s">
        <v>134</v>
      </c>
      <c r="E11" s="5" t="s">
        <v>37</v>
      </c>
    </row>
    <row r="12" spans="1:5" x14ac:dyDescent="0.45">
      <c r="A12" s="2" t="s">
        <v>8</v>
      </c>
      <c r="B12" s="3" t="s">
        <v>35</v>
      </c>
      <c r="C12" s="3" t="s">
        <v>38</v>
      </c>
      <c r="D12" s="3" t="s">
        <v>134</v>
      </c>
      <c r="E12" s="3" t="s">
        <v>39</v>
      </c>
    </row>
    <row r="13" spans="1:5" x14ac:dyDescent="0.45">
      <c r="A13" s="4" t="s">
        <v>8</v>
      </c>
      <c r="B13" s="5" t="s">
        <v>35</v>
      </c>
      <c r="C13" s="5" t="s">
        <v>40</v>
      </c>
      <c r="D13" s="5" t="s">
        <v>134</v>
      </c>
      <c r="E13" s="5" t="s">
        <v>41</v>
      </c>
    </row>
    <row r="14" spans="1:5" x14ac:dyDescent="0.45">
      <c r="A14" s="2" t="s">
        <v>8</v>
      </c>
      <c r="B14" s="3" t="s">
        <v>35</v>
      </c>
      <c r="C14" s="3" t="s">
        <v>42</v>
      </c>
      <c r="D14" s="3" t="s">
        <v>134</v>
      </c>
      <c r="E14" s="3" t="s">
        <v>43</v>
      </c>
    </row>
    <row r="15" spans="1:5" x14ac:dyDescent="0.45">
      <c r="A15" s="4" t="s">
        <v>4</v>
      </c>
      <c r="B15" s="5" t="s">
        <v>35</v>
      </c>
      <c r="C15" s="5" t="s">
        <v>44</v>
      </c>
      <c r="D15" s="5" t="s">
        <v>134</v>
      </c>
      <c r="E15" s="5" t="s">
        <v>45</v>
      </c>
    </row>
    <row r="16" spans="1:5" x14ac:dyDescent="0.45">
      <c r="A16" s="2" t="s">
        <v>22</v>
      </c>
      <c r="B16" s="3" t="s">
        <v>35</v>
      </c>
      <c r="C16" s="3" t="s">
        <v>46</v>
      </c>
      <c r="D16" s="3" t="s">
        <v>134</v>
      </c>
      <c r="E16" s="3" t="s">
        <v>47</v>
      </c>
    </row>
    <row r="17" spans="1:5" x14ac:dyDescent="0.45">
      <c r="A17" s="4" t="s">
        <v>18</v>
      </c>
      <c r="B17" s="5" t="s">
        <v>35</v>
      </c>
      <c r="C17" s="5" t="s">
        <v>48</v>
      </c>
      <c r="D17" s="5" t="s">
        <v>134</v>
      </c>
      <c r="E17" s="5" t="s">
        <v>49</v>
      </c>
    </row>
    <row r="18" spans="1:5" x14ac:dyDescent="0.45">
      <c r="A18" s="2" t="s">
        <v>4</v>
      </c>
      <c r="B18" s="3" t="s">
        <v>35</v>
      </c>
      <c r="C18" s="3" t="s">
        <v>50</v>
      </c>
      <c r="D18" s="3" t="s">
        <v>134</v>
      </c>
      <c r="E18" s="3" t="s">
        <v>51</v>
      </c>
    </row>
    <row r="19" spans="1:5" x14ac:dyDescent="0.45">
      <c r="A19" s="4" t="s">
        <v>22</v>
      </c>
      <c r="B19" s="5" t="s">
        <v>35</v>
      </c>
      <c r="C19" s="5" t="s">
        <v>52</v>
      </c>
      <c r="D19" s="5" t="s">
        <v>134</v>
      </c>
      <c r="E19" s="5" t="s">
        <v>53</v>
      </c>
    </row>
    <row r="20" spans="1:5" x14ac:dyDescent="0.45">
      <c r="A20" s="2" t="s">
        <v>4</v>
      </c>
      <c r="B20" s="3" t="s">
        <v>35</v>
      </c>
      <c r="C20" s="3" t="s">
        <v>54</v>
      </c>
      <c r="D20" s="3" t="s">
        <v>134</v>
      </c>
      <c r="E20" s="3" t="s">
        <v>55</v>
      </c>
    </row>
    <row r="21" spans="1:5" x14ac:dyDescent="0.45">
      <c r="A21" s="4" t="s">
        <v>4</v>
      </c>
      <c r="B21" s="5" t="s">
        <v>35</v>
      </c>
      <c r="C21" s="5" t="s">
        <v>56</v>
      </c>
      <c r="D21" s="5" t="s">
        <v>134</v>
      </c>
      <c r="E21" s="5" t="s">
        <v>57</v>
      </c>
    </row>
    <row r="22" spans="1:5" x14ac:dyDescent="0.45">
      <c r="A22" s="2" t="s">
        <v>8</v>
      </c>
      <c r="B22" s="3" t="s">
        <v>35</v>
      </c>
      <c r="C22" s="3" t="s">
        <v>58</v>
      </c>
      <c r="D22" s="3" t="s">
        <v>134</v>
      </c>
      <c r="E22" s="3" t="s">
        <v>59</v>
      </c>
    </row>
    <row r="23" spans="1:5" x14ac:dyDescent="0.45">
      <c r="A23" s="4" t="s">
        <v>8</v>
      </c>
      <c r="B23" s="5" t="s">
        <v>35</v>
      </c>
      <c r="C23" s="5" t="s">
        <v>60</v>
      </c>
      <c r="D23" s="5" t="s">
        <v>134</v>
      </c>
      <c r="E23" s="5" t="s">
        <v>61</v>
      </c>
    </row>
    <row r="24" spans="1:5" x14ac:dyDescent="0.45">
      <c r="A24" s="2" t="s">
        <v>62</v>
      </c>
      <c r="B24" s="3" t="s">
        <v>35</v>
      </c>
      <c r="C24" s="3" t="s">
        <v>31</v>
      </c>
      <c r="D24" s="3" t="s">
        <v>134</v>
      </c>
      <c r="E24" s="3" t="s">
        <v>63</v>
      </c>
    </row>
    <row r="25" spans="1:5" x14ac:dyDescent="0.45">
      <c r="A25" s="4" t="s">
        <v>64</v>
      </c>
      <c r="B25" s="5" t="s">
        <v>35</v>
      </c>
      <c r="C25" s="5" t="s">
        <v>65</v>
      </c>
      <c r="D25" s="5" t="s">
        <v>134</v>
      </c>
      <c r="E25" s="5" t="s">
        <v>66</v>
      </c>
    </row>
    <row r="26" spans="1:5" x14ac:dyDescent="0.45">
      <c r="A26" s="2" t="s">
        <v>4</v>
      </c>
      <c r="B26" s="3" t="s">
        <v>35</v>
      </c>
      <c r="C26" s="3" t="s">
        <v>67</v>
      </c>
      <c r="D26" s="3" t="s">
        <v>134</v>
      </c>
      <c r="E26" s="3" t="s">
        <v>68</v>
      </c>
    </row>
    <row r="27" spans="1:5" x14ac:dyDescent="0.45">
      <c r="A27" s="4" t="s">
        <v>8</v>
      </c>
      <c r="B27" s="5" t="s">
        <v>35</v>
      </c>
      <c r="C27" s="5" t="s">
        <v>69</v>
      </c>
      <c r="D27" s="5" t="s">
        <v>134</v>
      </c>
      <c r="E27" s="5" t="s">
        <v>70</v>
      </c>
    </row>
    <row r="28" spans="1:5" x14ac:dyDescent="0.45">
      <c r="A28" s="2" t="s">
        <v>4</v>
      </c>
      <c r="B28" s="3" t="s">
        <v>35</v>
      </c>
      <c r="C28" s="3" t="s">
        <v>33</v>
      </c>
      <c r="D28" s="3" t="s">
        <v>134</v>
      </c>
      <c r="E28" s="3" t="s">
        <v>71</v>
      </c>
    </row>
    <row r="29" spans="1:5" x14ac:dyDescent="0.45">
      <c r="A29" s="4" t="s">
        <v>8</v>
      </c>
      <c r="B29" s="5" t="s">
        <v>35</v>
      </c>
      <c r="C29" s="5" t="s">
        <v>72</v>
      </c>
      <c r="D29" s="5" t="s">
        <v>134</v>
      </c>
      <c r="E29" s="5" t="s">
        <v>73</v>
      </c>
    </row>
    <row r="30" spans="1:5" x14ac:dyDescent="0.45">
      <c r="A30" s="2" t="s">
        <v>4</v>
      </c>
      <c r="B30" s="3" t="s">
        <v>35</v>
      </c>
      <c r="C30" s="3" t="s">
        <v>74</v>
      </c>
      <c r="D30" s="3" t="s">
        <v>134</v>
      </c>
      <c r="E30" s="3" t="s">
        <v>75</v>
      </c>
    </row>
    <row r="31" spans="1:5" x14ac:dyDescent="0.45">
      <c r="A31" s="4" t="s">
        <v>8</v>
      </c>
      <c r="B31" s="5" t="s">
        <v>35</v>
      </c>
      <c r="C31" s="5" t="s">
        <v>76</v>
      </c>
      <c r="D31" s="5" t="s">
        <v>134</v>
      </c>
      <c r="E31" s="5" t="s">
        <v>77</v>
      </c>
    </row>
    <row r="32" spans="1:5" x14ac:dyDescent="0.45">
      <c r="A32" s="2" t="s">
        <v>8</v>
      </c>
      <c r="B32" s="3" t="s">
        <v>35</v>
      </c>
      <c r="C32" s="3" t="s">
        <v>78</v>
      </c>
      <c r="D32" s="3" t="s">
        <v>134</v>
      </c>
      <c r="E32" s="3" t="s">
        <v>79</v>
      </c>
    </row>
    <row r="33" spans="1:5" x14ac:dyDescent="0.45">
      <c r="A33" s="4" t="s">
        <v>8</v>
      </c>
      <c r="B33" s="5" t="s">
        <v>35</v>
      </c>
      <c r="C33" s="5" t="s">
        <v>80</v>
      </c>
      <c r="D33" s="5" t="s">
        <v>134</v>
      </c>
      <c r="E33" s="5" t="s">
        <v>81</v>
      </c>
    </row>
    <row r="34" spans="1:5" ht="24.75" x14ac:dyDescent="0.45">
      <c r="A34" s="2" t="s">
        <v>4</v>
      </c>
      <c r="B34" s="3" t="s">
        <v>82</v>
      </c>
      <c r="C34" s="3" t="s">
        <v>83</v>
      </c>
      <c r="D34" s="3" t="s">
        <v>135</v>
      </c>
      <c r="E34" s="3" t="s">
        <v>84</v>
      </c>
    </row>
    <row r="35" spans="1:5" x14ac:dyDescent="0.45">
      <c r="A35" s="4" t="s">
        <v>22</v>
      </c>
      <c r="B35" s="5" t="s">
        <v>85</v>
      </c>
      <c r="C35" s="5" t="s">
        <v>86</v>
      </c>
      <c r="D35" s="5" t="str">
        <f>"885012206083‎"</f>
        <v>885012206083‎</v>
      </c>
      <c r="E35" s="5" t="s">
        <v>87</v>
      </c>
    </row>
    <row r="36" spans="1:5" x14ac:dyDescent="0.45">
      <c r="A36" s="2" t="s">
        <v>8</v>
      </c>
      <c r="B36" s="3" t="s">
        <v>85</v>
      </c>
      <c r="C36" s="3" t="s">
        <v>88</v>
      </c>
      <c r="D36" s="3" t="s">
        <v>136</v>
      </c>
      <c r="E36" s="3" t="s">
        <v>89</v>
      </c>
    </row>
    <row r="37" spans="1:5" x14ac:dyDescent="0.45">
      <c r="A37" s="4" t="s">
        <v>90</v>
      </c>
      <c r="B37" s="5" t="s">
        <v>85</v>
      </c>
      <c r="C37" s="5" t="s">
        <v>91</v>
      </c>
      <c r="D37" s="5" t="s">
        <v>137</v>
      </c>
      <c r="E37" s="5" t="s">
        <v>92</v>
      </c>
    </row>
    <row r="38" spans="1:5" x14ac:dyDescent="0.45">
      <c r="A38" s="2" t="s">
        <v>8</v>
      </c>
      <c r="B38" s="3" t="s">
        <v>85</v>
      </c>
      <c r="C38" s="3" t="s">
        <v>93</v>
      </c>
      <c r="D38" s="3" t="str">
        <f>"885012206077‎"</f>
        <v>885012206077‎</v>
      </c>
      <c r="E38" s="3" t="s">
        <v>94</v>
      </c>
    </row>
    <row r="39" spans="1:5" x14ac:dyDescent="0.45">
      <c r="A39" s="4" t="s">
        <v>8</v>
      </c>
      <c r="B39" s="5" t="s">
        <v>85</v>
      </c>
      <c r="C39" s="5" t="s">
        <v>95</v>
      </c>
      <c r="D39" s="5" t="str">
        <f>"885012206089"</f>
        <v>885012206089</v>
      </c>
      <c r="E39" s="5" t="s">
        <v>96</v>
      </c>
    </row>
    <row r="40" spans="1:5" x14ac:dyDescent="0.45">
      <c r="A40" s="2" t="s">
        <v>22</v>
      </c>
      <c r="B40" s="3" t="s">
        <v>97</v>
      </c>
      <c r="C40" s="3" t="s">
        <v>98</v>
      </c>
      <c r="D40" s="3" t="str">
        <f>"865080440002"</f>
        <v>865080440002</v>
      </c>
      <c r="E40" s="3" t="s">
        <v>99</v>
      </c>
    </row>
    <row r="41" spans="1:5" x14ac:dyDescent="0.45">
      <c r="A41" s="4" t="s">
        <v>4</v>
      </c>
      <c r="B41" s="5" t="s">
        <v>97</v>
      </c>
      <c r="C41" s="5" t="s">
        <v>83</v>
      </c>
      <c r="D41" s="5" t="str">
        <f>"‎865060640001‎"</f>
        <v>‎865060640001‎</v>
      </c>
      <c r="E41" s="5" t="s">
        <v>100</v>
      </c>
    </row>
    <row r="42" spans="1:5" x14ac:dyDescent="0.45">
      <c r="A42" s="2" t="s">
        <v>8</v>
      </c>
      <c r="B42" s="3" t="s">
        <v>97</v>
      </c>
      <c r="C42" s="3" t="s">
        <v>101</v>
      </c>
      <c r="D42" s="3" t="str">
        <f>"‎865080640004‎"</f>
        <v>‎865080640004‎</v>
      </c>
      <c r="E42" s="3" t="s">
        <v>102</v>
      </c>
    </row>
    <row r="43" spans="1:5" ht="24.75" x14ac:dyDescent="0.45">
      <c r="A43" s="4" t="s">
        <v>8</v>
      </c>
      <c r="B43" s="5" t="s">
        <v>103</v>
      </c>
      <c r="C43" s="5" t="s">
        <v>104</v>
      </c>
      <c r="D43" s="5" t="str">
        <f>"UCL1C221MCL1GS‎"</f>
        <v>UCL1C221MCL1GS‎</v>
      </c>
      <c r="E43" s="5" t="s">
        <v>105</v>
      </c>
    </row>
    <row r="44" spans="1:5" ht="24.75" x14ac:dyDescent="0.45">
      <c r="A44" s="2" t="s">
        <v>22</v>
      </c>
      <c r="B44" s="3" t="s">
        <v>103</v>
      </c>
      <c r="C44" s="3" t="s">
        <v>106</v>
      </c>
      <c r="D44" s="3" t="str">
        <f>"865080353015‎"</f>
        <v>865080353015‎</v>
      </c>
      <c r="E44" s="3" t="s">
        <v>107</v>
      </c>
    </row>
    <row r="45" spans="1:5" x14ac:dyDescent="0.45">
      <c r="A45" s="4" t="s">
        <v>8</v>
      </c>
      <c r="B45" s="5" t="s">
        <v>108</v>
      </c>
      <c r="C45" s="5" t="s">
        <v>109</v>
      </c>
      <c r="D45" s="5" t="s">
        <v>141</v>
      </c>
      <c r="E45" s="5" t="s">
        <v>110</v>
      </c>
    </row>
    <row r="46" spans="1:5" ht="24.75" x14ac:dyDescent="0.45">
      <c r="A46" s="2" t="s">
        <v>4</v>
      </c>
      <c r="B46" s="3" t="s">
        <v>111</v>
      </c>
      <c r="C46" s="3" t="s">
        <v>112</v>
      </c>
      <c r="D46" s="3" t="s">
        <v>142</v>
      </c>
      <c r="E46" s="3" t="s">
        <v>113</v>
      </c>
    </row>
    <row r="47" spans="1:5" x14ac:dyDescent="0.45">
      <c r="A47" s="4" t="s">
        <v>4</v>
      </c>
      <c r="B47" s="5" t="s">
        <v>114</v>
      </c>
      <c r="C47" s="5" t="s">
        <v>112</v>
      </c>
      <c r="D47" s="5" t="s">
        <v>143</v>
      </c>
      <c r="E47" s="5" t="s">
        <v>115</v>
      </c>
    </row>
    <row r="48" spans="1:5" x14ac:dyDescent="0.45">
      <c r="A48" s="2" t="s">
        <v>116</v>
      </c>
      <c r="B48" s="3" t="s">
        <v>117</v>
      </c>
      <c r="C48" s="3" t="s">
        <v>118</v>
      </c>
      <c r="D48" s="3" t="s">
        <v>143</v>
      </c>
      <c r="E48" s="3" t="s">
        <v>119</v>
      </c>
    </row>
    <row r="49" spans="1:5" ht="24.75" x14ac:dyDescent="0.45">
      <c r="A49" s="4" t="s">
        <v>8</v>
      </c>
      <c r="B49" s="5" t="s">
        <v>120</v>
      </c>
      <c r="C49" s="5" t="s">
        <v>118</v>
      </c>
      <c r="D49" s="5" t="s">
        <v>144</v>
      </c>
      <c r="E49" s="5" t="s">
        <v>121</v>
      </c>
    </row>
    <row r="50" spans="1:5" ht="24.75" x14ac:dyDescent="0.45">
      <c r="A50" s="2" t="s">
        <v>8</v>
      </c>
      <c r="B50" s="3" t="s">
        <v>122</v>
      </c>
      <c r="C50" s="3" t="s">
        <v>123</v>
      </c>
      <c r="D50" s="3" t="s">
        <v>145</v>
      </c>
      <c r="E50" s="3" t="s">
        <v>124</v>
      </c>
    </row>
    <row r="51" spans="1:5" x14ac:dyDescent="0.45">
      <c r="A51" s="4" t="s">
        <v>8</v>
      </c>
      <c r="B51" s="5" t="s">
        <v>125</v>
      </c>
      <c r="C51" s="5" t="s">
        <v>126</v>
      </c>
      <c r="D51" s="5" t="s">
        <v>146</v>
      </c>
      <c r="E51" s="5" t="s">
        <v>127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a9ee03e0-b78c-4998-8bf4-79b266b85105}" enabled="1" method="Standard" siteId="{723a5a87-f39a-4a22-9247-3fc240c0139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Parts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Derek Wright</dc:creator>
  <cp:lastModifiedBy>Derek Wright</cp:lastModifiedBy>
  <dcterms:created xsi:type="dcterms:W3CDTF">2015-06-05T18:17:20Z</dcterms:created>
  <dcterms:modified xsi:type="dcterms:W3CDTF">2026-02-23T17:24:39Z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9ec9f216-93c7-4167-b0cb-e4ffadefd917</vt:lpwstr>
  </property>
</Properties>
</file>